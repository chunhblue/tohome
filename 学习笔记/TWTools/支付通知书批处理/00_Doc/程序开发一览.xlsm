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codeName="ThisWorkbook" defaultThemeVersion="124226"/>
  <bookViews>
    <workbookView xWindow="1200" yWindow="4935" windowWidth="15480" windowHeight="4425"/>
  </bookViews>
  <sheets>
    <sheet name="Batch程序开发" sheetId="2" r:id="rId1"/>
  </sheets>
  <definedNames>
    <definedName name="_xlnm._FilterDatabase" localSheetId="0" hidden="1">Batch程序开发!$A$4:$H$15</definedName>
    <definedName name="_xlnm.Criteria" localSheetId="0">Batch程序开发!$B$5:$B$15</definedName>
    <definedName name="_xlnm.Print_Area" localSheetId="0">Batch程序开发!$A$1:$H$21</definedName>
    <definedName name="_xlnm.Print_Titles" localSheetId="0">Batch程序开发!$2:$4</definedName>
  </definedNames>
  <calcPr calcId="124519"/>
</workbook>
</file>

<file path=xl/calcChain.xml><?xml version="1.0" encoding="utf-8"?>
<calcChain xmlns="http://schemas.openxmlformats.org/spreadsheetml/2006/main">
  <c r="A14" i="2"/>
  <c r="A18"/>
  <c r="A19"/>
  <c r="A20"/>
  <c r="A17"/>
  <c r="A15"/>
  <c r="G6"/>
  <c r="G7"/>
  <c r="G8"/>
  <c r="G9"/>
  <c r="G5"/>
  <c r="A8"/>
  <c r="A9"/>
  <c r="A10"/>
  <c r="A11"/>
  <c r="A12"/>
  <c r="A13"/>
  <c r="A5"/>
  <c r="A7"/>
</calcChain>
</file>

<file path=xl/sharedStrings.xml><?xml version="1.0" encoding="utf-8"?>
<sst xmlns="http://schemas.openxmlformats.org/spreadsheetml/2006/main" count="107" uniqueCount="42">
  <si>
    <t>NO</t>
    <phoneticPr fontId="1" type="noConversion"/>
  </si>
  <si>
    <t>程序名</t>
    <phoneticPr fontId="1" type="noConversion"/>
  </si>
  <si>
    <t>说明</t>
    <phoneticPr fontId="1" type="noConversion"/>
  </si>
  <si>
    <t>子业务名</t>
    <phoneticPr fontId="1" type="noConversion"/>
  </si>
  <si>
    <t>程序管理</t>
    <phoneticPr fontId="1" type="noConversion"/>
  </si>
  <si>
    <t>类型</t>
    <phoneticPr fontId="1" type="noConversion"/>
  </si>
  <si>
    <t>状态</t>
    <phoneticPr fontId="1" type="noConversion"/>
  </si>
  <si>
    <t>编译</t>
    <phoneticPr fontId="1" type="noConversion"/>
  </si>
  <si>
    <t>twbrek2</t>
  </si>
  <si>
    <t>C</t>
  </si>
  <si>
    <t>未开始</t>
  </si>
  <si>
    <t>结构体</t>
  </si>
  <si>
    <t>twmatch2</t>
  </si>
  <si>
    <t>其它</t>
  </si>
  <si>
    <t>修改</t>
  </si>
  <si>
    <t>ORALOAD</t>
  </si>
  <si>
    <t>业务名称：支付通知书批处理</t>
    <phoneticPr fontId="1" type="noConversion"/>
  </si>
  <si>
    <t>项目：CIY</t>
    <phoneticPr fontId="1" type="noConversion"/>
  </si>
  <si>
    <t>支付通知书批处理</t>
  </si>
  <si>
    <t>ied101</t>
    <phoneticPr fontId="1" type="noConversion"/>
  </si>
  <si>
    <t>ied104</t>
    <phoneticPr fontId="1" type="noConversion"/>
  </si>
  <si>
    <t>ied105</t>
    <phoneticPr fontId="1" type="noConversion"/>
  </si>
  <si>
    <t>ied021</t>
    <phoneticPr fontId="1" type="noConversion"/>
  </si>
  <si>
    <t>ied020</t>
    <phoneticPr fontId="1" type="noConversion"/>
  </si>
  <si>
    <t>税票数据</t>
  </si>
  <si>
    <t>实际支付税票数据接口_FROM NEC</t>
  </si>
  <si>
    <t>已支付通知书接口转换</t>
  </si>
  <si>
    <t>支付通知书一览</t>
  </si>
  <si>
    <t>物贩已支付通知书接口</t>
  </si>
  <si>
    <t>iyed101</t>
  </si>
  <si>
    <t>iyed103</t>
  </si>
  <si>
    <t>iyed200</t>
    <phoneticPr fontId="1" type="noConversion"/>
  </si>
  <si>
    <t>iyed205</t>
  </si>
  <si>
    <t>crt_iyed_tax_receipt_tbl.sql</t>
  </si>
  <si>
    <t>ORAPLUS</t>
  </si>
  <si>
    <t>load_iyed_pay_list_tbl_DIRECT.ctl</t>
  </si>
  <si>
    <t>load_iyed_tax_receipt.ctl</t>
  </si>
  <si>
    <t>iyed110</t>
  </si>
  <si>
    <t>iyed115</t>
  </si>
  <si>
    <t>iyed121</t>
  </si>
  <si>
    <t>ProC</t>
  </si>
  <si>
    <t>crt_iyed_pay_list_tbl.sql</t>
    <phoneticPr fontId="1" type="noConversion"/>
  </si>
</sst>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1" fillId="0" borderId="0" xfId="0" applyFont="1" applyFill="1">
      <alignment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5" xfId="0" applyFont="1" applyFill="1" applyBorder="1">
      <alignment vertical="center"/>
    </xf>
    <xf numFmtId="0" fontId="1" fillId="0" borderId="7" xfId="0" applyFont="1" applyFill="1" applyBorder="1" applyAlignment="1">
      <alignment horizontal="left" vertical="center"/>
    </xf>
    <xf numFmtId="0" fontId="1" fillId="0" borderId="8" xfId="0" applyFont="1" applyFill="1" applyBorder="1">
      <alignment vertical="center"/>
    </xf>
    <xf numFmtId="0" fontId="0" fillId="0" borderId="0" xfId="0" applyBorder="1">
      <alignment vertical="center"/>
    </xf>
    <xf numFmtId="0" fontId="1" fillId="0" borderId="9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常规" xfId="0" builtinId="0"/>
  </cellStyles>
  <dxfs count="24"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  <dxf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H21"/>
  <sheetViews>
    <sheetView tabSelected="1" view="pageBreakPreview" zoomScaleSheetLayoutView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4.25"/>
  <cols>
    <col min="1" max="1" width="3.625" style="3" bestFit="1" customWidth="1"/>
    <col min="2" max="2" width="30.75" customWidth="1"/>
    <col min="3" max="3" width="35" customWidth="1"/>
    <col min="4" max="4" width="53" bestFit="1" customWidth="1"/>
    <col min="5" max="5" width="8.25" customWidth="1"/>
    <col min="6" max="6" width="7" customWidth="1"/>
    <col min="7" max="7" width="8" customWidth="1"/>
    <col min="8" max="8" width="7.375" customWidth="1"/>
    <col min="13" max="13" width="12.25" customWidth="1"/>
    <col min="14" max="14" width="15" customWidth="1"/>
  </cols>
  <sheetData>
    <row r="1" spans="1:8" ht="24.75" customHeight="1">
      <c r="A1" s="6" t="s">
        <v>17</v>
      </c>
      <c r="B1" s="7"/>
      <c r="C1" s="7" t="s">
        <v>16</v>
      </c>
      <c r="D1" s="7"/>
      <c r="E1" s="22" t="s">
        <v>4</v>
      </c>
      <c r="F1" s="22"/>
      <c r="G1" s="22"/>
      <c r="H1" s="19" t="s">
        <v>6</v>
      </c>
    </row>
    <row r="2" spans="1:8">
      <c r="A2" s="15" t="s">
        <v>0</v>
      </c>
      <c r="B2" s="17" t="s">
        <v>3</v>
      </c>
      <c r="C2" s="17" t="s">
        <v>1</v>
      </c>
      <c r="D2" s="17" t="s">
        <v>2</v>
      </c>
      <c r="E2" s="17" t="s">
        <v>5</v>
      </c>
      <c r="F2" s="17" t="s">
        <v>6</v>
      </c>
      <c r="G2" s="17" t="s">
        <v>7</v>
      </c>
      <c r="H2" s="20"/>
    </row>
    <row r="3" spans="1:8">
      <c r="A3" s="16"/>
      <c r="B3" s="18"/>
      <c r="C3" s="18"/>
      <c r="D3" s="18"/>
      <c r="E3" s="18"/>
      <c r="F3" s="18"/>
      <c r="G3" s="18"/>
      <c r="H3" s="21"/>
    </row>
    <row r="4" spans="1:8" s="13" customFormat="1">
      <c r="A4" s="8"/>
      <c r="B4" s="1"/>
      <c r="C4" s="1"/>
      <c r="D4" s="1"/>
      <c r="E4" s="2"/>
      <c r="F4" s="2"/>
      <c r="G4" s="2"/>
      <c r="H4" s="9"/>
    </row>
    <row r="5" spans="1:8" s="5" customFormat="1" ht="12.95" customHeight="1">
      <c r="A5" s="14">
        <f t="shared" ref="A5:A20" si="0">ROW()-4</f>
        <v>1</v>
      </c>
      <c r="B5" s="11" t="s">
        <v>18</v>
      </c>
      <c r="C5" s="4" t="s">
        <v>19</v>
      </c>
      <c r="D5" s="4" t="s">
        <v>28</v>
      </c>
      <c r="E5" s="4" t="s">
        <v>11</v>
      </c>
      <c r="F5" s="4" t="s">
        <v>14</v>
      </c>
      <c r="G5" s="4" t="str">
        <f>IF(E5="结构体","twstct",IF(E5="NPARA","twnet",""))</f>
        <v>twstct</v>
      </c>
      <c r="H5" s="12" t="s">
        <v>10</v>
      </c>
    </row>
    <row r="6" spans="1:8" s="5" customFormat="1" ht="12.95" customHeight="1">
      <c r="A6" s="14">
        <v>2</v>
      </c>
      <c r="B6" s="11" t="s">
        <v>18</v>
      </c>
      <c r="C6" s="4" t="s">
        <v>20</v>
      </c>
      <c r="D6" s="4" t="s">
        <v>27</v>
      </c>
      <c r="E6" s="4" t="s">
        <v>11</v>
      </c>
      <c r="F6" s="4" t="s">
        <v>14</v>
      </c>
      <c r="G6" s="4" t="str">
        <f t="shared" ref="G6:G9" si="1">IF(E6="结构体","twstct",IF(E6="NPARA","twnet",""))</f>
        <v>twstct</v>
      </c>
      <c r="H6" s="12" t="s">
        <v>10</v>
      </c>
    </row>
    <row r="7" spans="1:8" s="5" customFormat="1" ht="12.95" customHeight="1">
      <c r="A7" s="14">
        <f t="shared" si="0"/>
        <v>3</v>
      </c>
      <c r="B7" s="11" t="s">
        <v>18</v>
      </c>
      <c r="C7" s="4" t="s">
        <v>21</v>
      </c>
      <c r="D7" s="4" t="s">
        <v>26</v>
      </c>
      <c r="E7" s="4" t="s">
        <v>11</v>
      </c>
      <c r="F7" s="4" t="s">
        <v>14</v>
      </c>
      <c r="G7" s="4" t="str">
        <f t="shared" si="1"/>
        <v>twstct</v>
      </c>
      <c r="H7" s="12" t="s">
        <v>10</v>
      </c>
    </row>
    <row r="8" spans="1:8" s="5" customFormat="1" ht="12.95" customHeight="1">
      <c r="A8" s="14">
        <f t="shared" si="0"/>
        <v>4</v>
      </c>
      <c r="B8" s="11" t="s">
        <v>18</v>
      </c>
      <c r="C8" s="4" t="s">
        <v>22</v>
      </c>
      <c r="D8" s="4" t="s">
        <v>25</v>
      </c>
      <c r="E8" s="4" t="s">
        <v>11</v>
      </c>
      <c r="F8" s="4" t="s">
        <v>14</v>
      </c>
      <c r="G8" s="4" t="str">
        <f t="shared" si="1"/>
        <v>twstct</v>
      </c>
      <c r="H8" s="12" t="s">
        <v>10</v>
      </c>
    </row>
    <row r="9" spans="1:8" s="5" customFormat="1" ht="12.95" customHeight="1">
      <c r="A9" s="14">
        <f t="shared" si="0"/>
        <v>5</v>
      </c>
      <c r="B9" s="11" t="s">
        <v>18</v>
      </c>
      <c r="C9" s="4" t="s">
        <v>23</v>
      </c>
      <c r="D9" s="4" t="s">
        <v>24</v>
      </c>
      <c r="E9" s="4" t="s">
        <v>11</v>
      </c>
      <c r="F9" s="4" t="s">
        <v>14</v>
      </c>
      <c r="G9" s="4" t="str">
        <f t="shared" si="1"/>
        <v>twstct</v>
      </c>
      <c r="H9" s="12" t="s">
        <v>10</v>
      </c>
    </row>
    <row r="10" spans="1:8" s="5" customFormat="1" ht="12.95" customHeight="1">
      <c r="A10" s="14">
        <f t="shared" si="0"/>
        <v>6</v>
      </c>
      <c r="B10" s="11" t="s">
        <v>18</v>
      </c>
      <c r="C10" s="4" t="s">
        <v>29</v>
      </c>
      <c r="D10" s="4"/>
      <c r="E10" s="4" t="s">
        <v>40</v>
      </c>
      <c r="F10" s="4" t="s">
        <v>14</v>
      </c>
      <c r="G10" s="4" t="s">
        <v>13</v>
      </c>
      <c r="H10" s="12" t="s">
        <v>10</v>
      </c>
    </row>
    <row r="11" spans="1:8" s="5" customFormat="1" ht="12.95" customHeight="1">
      <c r="A11" s="14">
        <f t="shared" si="0"/>
        <v>7</v>
      </c>
      <c r="B11" s="11" t="s">
        <v>18</v>
      </c>
      <c r="C11" s="4" t="s">
        <v>30</v>
      </c>
      <c r="D11" s="4"/>
      <c r="E11" s="4" t="s">
        <v>40</v>
      </c>
      <c r="F11" s="4" t="s">
        <v>14</v>
      </c>
      <c r="G11" s="4" t="s">
        <v>13</v>
      </c>
      <c r="H11" s="12" t="s">
        <v>10</v>
      </c>
    </row>
    <row r="12" spans="1:8" s="5" customFormat="1" ht="12.95" customHeight="1">
      <c r="A12" s="14">
        <f t="shared" si="0"/>
        <v>8</v>
      </c>
      <c r="B12" s="11" t="s">
        <v>18</v>
      </c>
      <c r="C12" s="4" t="s">
        <v>31</v>
      </c>
      <c r="D12" s="4"/>
      <c r="E12" s="4" t="s">
        <v>9</v>
      </c>
      <c r="F12" s="4" t="s">
        <v>14</v>
      </c>
      <c r="G12" s="4" t="s">
        <v>8</v>
      </c>
      <c r="H12" s="12" t="s">
        <v>10</v>
      </c>
    </row>
    <row r="13" spans="1:8" s="5" customFormat="1" ht="12.95" customHeight="1">
      <c r="A13" s="14">
        <f t="shared" si="0"/>
        <v>9</v>
      </c>
      <c r="B13" s="11" t="s">
        <v>18</v>
      </c>
      <c r="C13" s="4" t="s">
        <v>32</v>
      </c>
      <c r="D13" s="4"/>
      <c r="E13" s="4" t="s">
        <v>40</v>
      </c>
      <c r="F13" s="4" t="s">
        <v>14</v>
      </c>
      <c r="G13" s="4" t="s">
        <v>13</v>
      </c>
      <c r="H13" s="12" t="s">
        <v>10</v>
      </c>
    </row>
    <row r="14" spans="1:8" s="5" customFormat="1" ht="12.95" customHeight="1">
      <c r="A14" s="14">
        <f t="shared" si="0"/>
        <v>10</v>
      </c>
      <c r="B14" s="11" t="s">
        <v>18</v>
      </c>
      <c r="C14" s="4" t="s">
        <v>41</v>
      </c>
      <c r="D14" s="4"/>
      <c r="E14" s="4" t="s">
        <v>34</v>
      </c>
      <c r="F14" s="4" t="s">
        <v>14</v>
      </c>
      <c r="G14" s="4" t="s">
        <v>13</v>
      </c>
      <c r="H14" s="12" t="s">
        <v>10</v>
      </c>
    </row>
    <row r="15" spans="1:8" s="5" customFormat="1" ht="12.95" customHeight="1">
      <c r="A15" s="14">
        <f t="shared" si="0"/>
        <v>11</v>
      </c>
      <c r="B15" s="11" t="s">
        <v>18</v>
      </c>
      <c r="C15" s="4" t="s">
        <v>33</v>
      </c>
      <c r="D15" s="4"/>
      <c r="E15" s="4" t="s">
        <v>34</v>
      </c>
      <c r="F15" s="4" t="s">
        <v>14</v>
      </c>
      <c r="G15" s="4" t="s">
        <v>13</v>
      </c>
      <c r="H15" s="12" t="s">
        <v>10</v>
      </c>
    </row>
    <row r="16" spans="1:8" s="5" customFormat="1" ht="12.95" customHeight="1">
      <c r="A16" s="14">
        <v>27</v>
      </c>
      <c r="B16" s="11" t="s">
        <v>18</v>
      </c>
      <c r="C16" s="4" t="s">
        <v>35</v>
      </c>
      <c r="D16" s="4"/>
      <c r="E16" s="4" t="s">
        <v>15</v>
      </c>
      <c r="F16" s="4" t="s">
        <v>14</v>
      </c>
      <c r="G16" s="4" t="s">
        <v>13</v>
      </c>
      <c r="H16" s="12" t="s">
        <v>10</v>
      </c>
    </row>
    <row r="17" spans="1:8" s="5" customFormat="1" ht="12.95" customHeight="1">
      <c r="A17" s="14">
        <f t="shared" si="0"/>
        <v>13</v>
      </c>
      <c r="B17" s="11" t="s">
        <v>18</v>
      </c>
      <c r="C17" s="4" t="s">
        <v>36</v>
      </c>
      <c r="D17" s="4"/>
      <c r="E17" s="4" t="s">
        <v>15</v>
      </c>
      <c r="F17" s="4" t="s">
        <v>14</v>
      </c>
      <c r="G17" s="4" t="s">
        <v>13</v>
      </c>
      <c r="H17" s="12" t="s">
        <v>10</v>
      </c>
    </row>
    <row r="18" spans="1:8" s="5" customFormat="1" ht="12.95" customHeight="1">
      <c r="A18" s="14">
        <f t="shared" si="0"/>
        <v>14</v>
      </c>
      <c r="B18" s="11" t="s">
        <v>18</v>
      </c>
      <c r="C18" s="4" t="s">
        <v>37</v>
      </c>
      <c r="D18" s="4"/>
      <c r="E18" s="4" t="s">
        <v>9</v>
      </c>
      <c r="F18" s="4" t="s">
        <v>14</v>
      </c>
      <c r="G18" s="4" t="s">
        <v>8</v>
      </c>
      <c r="H18" s="12" t="s">
        <v>10</v>
      </c>
    </row>
    <row r="19" spans="1:8" s="5" customFormat="1" ht="12.95" customHeight="1">
      <c r="A19" s="14">
        <f t="shared" si="0"/>
        <v>15</v>
      </c>
      <c r="B19" s="11" t="s">
        <v>18</v>
      </c>
      <c r="C19" s="4" t="s">
        <v>38</v>
      </c>
      <c r="D19" s="4"/>
      <c r="E19" s="4" t="s">
        <v>9</v>
      </c>
      <c r="F19" s="4" t="s">
        <v>14</v>
      </c>
      <c r="G19" s="4" t="s">
        <v>12</v>
      </c>
      <c r="H19" s="12" t="s">
        <v>10</v>
      </c>
    </row>
    <row r="20" spans="1:8" s="5" customFormat="1" ht="12.95" customHeight="1">
      <c r="A20" s="14">
        <f t="shared" si="0"/>
        <v>16</v>
      </c>
      <c r="B20" s="11" t="s">
        <v>18</v>
      </c>
      <c r="C20" s="4" t="s">
        <v>39</v>
      </c>
      <c r="D20" s="4"/>
      <c r="E20" s="4" t="s">
        <v>9</v>
      </c>
      <c r="F20" s="4" t="s">
        <v>14</v>
      </c>
      <c r="G20" s="4" t="s">
        <v>8</v>
      </c>
      <c r="H20" s="12" t="s">
        <v>10</v>
      </c>
    </row>
    <row r="21" spans="1:8" s="5" customFormat="1" ht="12.95" customHeight="1">
      <c r="A21" s="14"/>
      <c r="B21" s="11"/>
      <c r="C21" s="4"/>
      <c r="D21" s="4"/>
      <c r="E21" s="4"/>
      <c r="F21" s="4"/>
      <c r="G21" s="4"/>
      <c r="H21" s="10"/>
    </row>
  </sheetData>
  <autoFilter ref="A4:H15">
    <filterColumn colId="4"/>
  </autoFilter>
  <mergeCells count="9">
    <mergeCell ref="A2:A3"/>
    <mergeCell ref="B2:B3"/>
    <mergeCell ref="C2:C3"/>
    <mergeCell ref="D2:D3"/>
    <mergeCell ref="H1:H3"/>
    <mergeCell ref="E1:G1"/>
    <mergeCell ref="E2:E3"/>
    <mergeCell ref="F2:F3"/>
    <mergeCell ref="G2:G3"/>
  </mergeCells>
  <phoneticPr fontId="1" type="noConversion"/>
  <conditionalFormatting sqref="H21">
    <cfRule type="expression" dxfId="23" priority="885" stopIfTrue="1">
      <formula>#REF!="完成"</formula>
    </cfRule>
    <cfRule type="expression" dxfId="22" priority="886" stopIfTrue="1">
      <formula>#REF!="暂停"</formula>
    </cfRule>
  </conditionalFormatting>
  <conditionalFormatting sqref="H21">
    <cfRule type="expression" dxfId="21" priority="965" stopIfTrue="1">
      <formula>#REF!="完成"</formula>
    </cfRule>
    <cfRule type="expression" dxfId="20" priority="966" stopIfTrue="1">
      <formula>#REF!="暂停"</formula>
    </cfRule>
  </conditionalFormatting>
  <conditionalFormatting sqref="B14:G20 A8:H8">
    <cfRule type="expression" dxfId="19" priority="1111" stopIfTrue="1">
      <formula>$H$8="完成"</formula>
    </cfRule>
    <cfRule type="expression" dxfId="18" priority="1112" stopIfTrue="1">
      <formula>$H$8="暂停"</formula>
    </cfRule>
  </conditionalFormatting>
  <conditionalFormatting sqref="G14:G20 B14:B20 B12 A5:H5 B8 B10">
    <cfRule type="expression" dxfId="17" priority="1081" stopIfTrue="1">
      <formula>$H$5="完成"</formula>
    </cfRule>
    <cfRule type="expression" dxfId="16" priority="1082" stopIfTrue="1">
      <formula>$H$5="暂停"</formula>
    </cfRule>
  </conditionalFormatting>
  <conditionalFormatting sqref="B11 B14:B20 A6:H6 B9">
    <cfRule type="expression" dxfId="15" priority="1115" stopIfTrue="1">
      <formula>$H$6="完成"</formula>
    </cfRule>
    <cfRule type="expression" dxfId="14" priority="1116" stopIfTrue="1">
      <formula>$H$6="暂停"</formula>
    </cfRule>
  </conditionalFormatting>
  <conditionalFormatting sqref="B16 B13 A7:H7">
    <cfRule type="expression" dxfId="13" priority="1117" stopIfTrue="1">
      <formula>$H$7="完成"</formula>
    </cfRule>
    <cfRule type="expression" dxfId="12" priority="1118" stopIfTrue="1">
      <formula>$H$7="暂停"</formula>
    </cfRule>
  </conditionalFormatting>
  <conditionalFormatting sqref="A9:H9">
    <cfRule type="expression" dxfId="11" priority="1121" stopIfTrue="1">
      <formula>$H$9="完成"</formula>
    </cfRule>
    <cfRule type="expression" dxfId="10" priority="1122" stopIfTrue="1">
      <formula>$H$9="暂停"</formula>
    </cfRule>
  </conditionalFormatting>
  <conditionalFormatting sqref="A10:H10 G11:G13">
    <cfRule type="expression" dxfId="9" priority="1137" stopIfTrue="1">
      <formula>$H$10="完成"</formula>
    </cfRule>
    <cfRule type="expression" dxfId="8" priority="1138" stopIfTrue="1">
      <formula>$H$10="暂停"</formula>
    </cfRule>
  </conditionalFormatting>
  <conditionalFormatting sqref="A11:H11 F12:F20">
    <cfRule type="expression" dxfId="7" priority="1141" stopIfTrue="1">
      <formula>$H$11="完成"</formula>
    </cfRule>
    <cfRule type="expression" dxfId="6" priority="1142" stopIfTrue="1">
      <formula>$H$11="暂停"</formula>
    </cfRule>
  </conditionalFormatting>
  <conditionalFormatting sqref="A12:H12">
    <cfRule type="expression" dxfId="5" priority="1149" stopIfTrue="1">
      <formula>$H$12="完成"</formula>
    </cfRule>
    <cfRule type="expression" dxfId="4" priority="1150" stopIfTrue="1">
      <formula>$H$12="暂停"</formula>
    </cfRule>
  </conditionalFormatting>
  <conditionalFormatting sqref="A13:H13">
    <cfRule type="expression" dxfId="3" priority="1153" stopIfTrue="1">
      <formula>$H$13="完成"</formula>
    </cfRule>
    <cfRule type="expression" dxfId="2" priority="1154" stopIfTrue="1">
      <formula>$H$13="暂停"</formula>
    </cfRule>
  </conditionalFormatting>
  <conditionalFormatting sqref="D9 F14:F20 A14:B20">
    <cfRule type="expression" dxfId="1" priority="1155" stopIfTrue="1">
      <formula>#REF!="完成"</formula>
    </cfRule>
    <cfRule type="expression" dxfId="0" priority="1156" stopIfTrue="1">
      <formula>#REF!="暂停"</formula>
    </cfRule>
  </conditionalFormatting>
  <dataValidations count="4">
    <dataValidation type="list" allowBlank="1" showInputMessage="1" showErrorMessage="1" sqref="G5:G20">
      <formula1>"twstct,twbrek2,twmatch2,twjob,twjob2,twnet,twjobsort2,其它"</formula1>
    </dataValidation>
    <dataValidation type="list" allowBlank="1" showInputMessage="1" showErrorMessage="1" sqref="H5:H21">
      <formula1>"未开始,进行中,暂停,完成"</formula1>
    </dataValidation>
    <dataValidation type="list" allowBlank="1" showInputMessage="1" showErrorMessage="1" sqref="F5:F20">
      <formula1>"新规,修改,重编,其它"</formula1>
    </dataValidation>
    <dataValidation type="list" allowBlank="1" showInputMessage="1" showErrorMessage="1" sqref="E5:E20">
      <formula1>"结构体,C,ProC,SHL,ORAPLUS,ORALOAD,NPARA"</formula1>
    </dataValidation>
  </dataValidations>
  <pageMargins left="0.43307086614173229" right="0.43307086614173229" top="0.43307086614173229" bottom="0.47244094488188981" header="0.19685039370078741" footer="0.23622047244094491"/>
  <pageSetup paperSize="9" scale="82" fitToHeight="0" orientation="landscape" horizontalDpi="300" verticalDpi="300" r:id="rId1"/>
  <headerFooter alignWithMargins="0">
    <oddHeader>&amp;R&amp;9打印日:&amp;D &amp;T</oddHeader>
    <oddFooter>&amp;C&amp;9&amp;P/&amp;N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Batch程序开发</vt:lpstr>
      <vt:lpstr>Batch程序开发!Criteria</vt:lpstr>
      <vt:lpstr>Batch程序开发!Print_Area</vt:lpstr>
      <vt:lpstr>Batch程序开发!Print_Titles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user</cp:lastModifiedBy>
  <cp:lastPrinted>2008-12-04T06:42:27Z</cp:lastPrinted>
  <dcterms:created xsi:type="dcterms:W3CDTF">2006-04-14T03:01:06Z</dcterms:created>
  <dcterms:modified xsi:type="dcterms:W3CDTF">2013-07-16T08:52:29Z</dcterms:modified>
</cp:coreProperties>
</file>